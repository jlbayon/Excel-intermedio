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uria López Álvarez\Desktop\miércoles 22-4-26\"/>
    </mc:Choice>
  </mc:AlternateContent>
  <xr:revisionPtr revIDLastSave="0" documentId="13_ncr:1_{A4DADC26-E339-4DF2-BC27-F89564839EB3}" xr6:coauthVersionLast="47" xr6:coauthVersionMax="47" xr10:uidLastSave="{00000000-0000-0000-0000-000000000000}"/>
  <bookViews>
    <workbookView xWindow="-110" yWindow="-110" windowWidth="19420" windowHeight="10300" activeTab="1" xr2:uid="{25E99A1C-48CF-4186-A2D3-FD12E8294418}"/>
  </bookViews>
  <sheets>
    <sheet name="Borrar original" sheetId="2" r:id="rId1"/>
    <sheet name="Limpieza original" sheetId="15" r:id="rId2"/>
  </sheets>
  <definedNames>
    <definedName name="_xlnm._FilterDatabase" localSheetId="0" hidden="1">'Borrar original'!$B$3:$B$13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2" l="1"/>
  <c r="I10" i="2" s="1"/>
  <c r="J10" i="2" s="1"/>
  <c r="G10" i="2"/>
  <c r="H9" i="2"/>
  <c r="G9" i="2"/>
  <c r="I9" i="2" s="1"/>
  <c r="J9" i="2" s="1"/>
  <c r="H6" i="2"/>
  <c r="G6" i="2"/>
  <c r="I6" i="2" s="1"/>
  <c r="J6" i="2" s="1"/>
  <c r="H4" i="2"/>
  <c r="I4" i="2" s="1"/>
  <c r="J4" i="2" s="1"/>
  <c r="G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tc={A5409CBE-AFDC-44C5-B606-BC5DF26E2E33}</author>
    <author>Nuria López Álvarez</author>
  </authors>
  <commentList>
    <comment ref="B2" authorId="0" shapeId="0" xr:uid="{A5409CBE-AFDC-44C5-B606-BC5DF26E2E3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Cuentan también los exámenes finales
</t>
      </text>
    </comment>
    <comment ref="G3" authorId="1" shapeId="0" xr:uid="{01EA7B03-1219-43A5-A54D-EEFD527059D4}">
      <text>
        <r>
          <rPr>
            <b/>
            <sz val="9"/>
            <color indexed="81"/>
            <rFont val="Tahoma"/>
            <charset val="1"/>
          </rPr>
          <t>Nuria López Álvarez:</t>
        </r>
        <r>
          <rPr>
            <sz val="9"/>
            <color indexed="81"/>
            <rFont val="Tahoma"/>
            <charset val="1"/>
          </rPr>
          <t xml:space="preserve">
No es necesario haber aprobado la teoría para aprobar la asignatura
</t>
        </r>
      </text>
    </comment>
  </commentList>
</comments>
</file>

<file path=xl/sharedStrings.xml><?xml version="1.0" encoding="utf-8"?>
<sst xmlns="http://schemas.openxmlformats.org/spreadsheetml/2006/main" count="146" uniqueCount="109">
  <si>
    <t>CONVOCATORIA JUNIO</t>
  </si>
  <si>
    <t>Junio</t>
  </si>
  <si>
    <t>Aprobado</t>
  </si>
  <si>
    <t>T1</t>
  </si>
  <si>
    <t>T2</t>
  </si>
  <si>
    <t>T3</t>
  </si>
  <si>
    <t>Excel</t>
  </si>
  <si>
    <t>Access</t>
  </si>
  <si>
    <t>Teoría</t>
  </si>
  <si>
    <t>Práctica</t>
  </si>
  <si>
    <t>Baroja Cano, Santiago</t>
  </si>
  <si>
    <t>Capó Bosch, Magdalena</t>
  </si>
  <si>
    <t>Cortes García, Jaume</t>
  </si>
  <si>
    <t>Ferrer Nadal, Alberto</t>
  </si>
  <si>
    <t>Landa Mínguez, Verónica</t>
  </si>
  <si>
    <t>Marín Marín, Ifigenia</t>
  </si>
  <si>
    <t>Pina Lara, Luis</t>
  </si>
  <si>
    <t>Virseda Bibiloni, Manuel</t>
  </si>
  <si>
    <t>Zaplana Martos, Mª José</t>
  </si>
  <si>
    <t>Presentados</t>
  </si>
  <si>
    <t>Aprobados</t>
  </si>
  <si>
    <t>Suspensos</t>
  </si>
  <si>
    <t>Nombre Completo</t>
  </si>
  <si>
    <t>Nombre</t>
  </si>
  <si>
    <t>Apellido</t>
  </si>
  <si>
    <t>Marca</t>
  </si>
  <si>
    <t>Plaza</t>
  </si>
  <si>
    <t>Tarjeta de Pago</t>
  </si>
  <si>
    <t>Fecha Pago DMA</t>
  </si>
  <si>
    <t>Descuento (%)</t>
  </si>
  <si>
    <t>Precio</t>
  </si>
  <si>
    <t>Priscilla_Welch</t>
  </si>
  <si>
    <t>Zara</t>
  </si>
  <si>
    <t>ANdares</t>
  </si>
  <si>
    <t xml:space="preserve">    American Express</t>
  </si>
  <si>
    <t>00828.00</t>
  </si>
  <si>
    <t>Cole_Bray</t>
  </si>
  <si>
    <t>Zara La Gran Plaza</t>
  </si>
  <si>
    <t>LA GRAN plaza</t>
  </si>
  <si>
    <t xml:space="preserve">       Mastercard</t>
  </si>
  <si>
    <t>00746.00</t>
  </si>
  <si>
    <t>Talia_Cuevas</t>
  </si>
  <si>
    <t>Massimo Dutti</t>
  </si>
  <si>
    <t>Plaza GALErias</t>
  </si>
  <si>
    <t xml:space="preserve">     Si Vale</t>
  </si>
  <si>
    <t>00336.00</t>
  </si>
  <si>
    <t>Draven_Mayer</t>
  </si>
  <si>
    <t>Massimo D.</t>
  </si>
  <si>
    <t>Plaza del SOL</t>
  </si>
  <si>
    <t xml:space="preserve">     Diners</t>
  </si>
  <si>
    <t>00738.00</t>
  </si>
  <si>
    <t>Aylin_Irwin</t>
  </si>
  <si>
    <t>Cartier</t>
  </si>
  <si>
    <t>PLAZA CIUDADELA</t>
  </si>
  <si>
    <t xml:space="preserve">       Vales del Bienestar</t>
  </si>
  <si>
    <t>00386.00</t>
  </si>
  <si>
    <t>Cora_Maldonado</t>
  </si>
  <si>
    <t>Cartier Joyeria</t>
  </si>
  <si>
    <t>plaza la perla</t>
  </si>
  <si>
    <t xml:space="preserve">    VISA</t>
  </si>
  <si>
    <t>00678.00</t>
  </si>
  <si>
    <t>Iris_Arnold</t>
  </si>
  <si>
    <t>Cartier Inc.</t>
  </si>
  <si>
    <t>LANDmark</t>
  </si>
  <si>
    <t>VISA PLATINUM</t>
  </si>
  <si>
    <t>00634.00</t>
  </si>
  <si>
    <t>Marina_Turner</t>
  </si>
  <si>
    <t xml:space="preserve">       American Express Corporativa</t>
  </si>
  <si>
    <t>00804.00</t>
  </si>
  <si>
    <t>Hallie_Chang</t>
  </si>
  <si>
    <t>El Palacio de Hierro</t>
  </si>
  <si>
    <t xml:space="preserve">      Debito</t>
  </si>
  <si>
    <t>00715.00</t>
  </si>
  <si>
    <t>Violet_Walters</t>
  </si>
  <si>
    <t>El P. de Hierro</t>
  </si>
  <si>
    <t>American               Express</t>
  </si>
  <si>
    <t>00646.00</t>
  </si>
  <si>
    <t>Taliyah_Santana</t>
  </si>
  <si>
    <t>Hierro, El palacio</t>
  </si>
  <si>
    <t>American     Express</t>
  </si>
  <si>
    <t>00120.00</t>
  </si>
  <si>
    <t>Kadin_Anthony</t>
  </si>
  <si>
    <t>Members Mark</t>
  </si>
  <si>
    <t>00621.00</t>
  </si>
  <si>
    <t>Lewis_Becker</t>
  </si>
  <si>
    <t>00625.00</t>
  </si>
  <si>
    <t>Donte_Ellison</t>
  </si>
  <si>
    <t>Sams Club Members Mark</t>
  </si>
  <si>
    <t>00928.00</t>
  </si>
  <si>
    <t>00484.00</t>
  </si>
  <si>
    <t>Brielle_Contreras</t>
  </si>
  <si>
    <t>Plaza LAS TORRES</t>
  </si>
  <si>
    <t>00311.00</t>
  </si>
  <si>
    <t>Priscilla_Calderon</t>
  </si>
  <si>
    <t>00838.00</t>
  </si>
  <si>
    <t>Mohamed_Ware</t>
  </si>
  <si>
    <t>00544.00</t>
  </si>
  <si>
    <t>Jaiden_Velasquez</t>
  </si>
  <si>
    <t>00457.00</t>
  </si>
  <si>
    <t>Gaven_Carter</t>
  </si>
  <si>
    <t>00922.00</t>
  </si>
  <si>
    <t>Walter_Farrell</t>
  </si>
  <si>
    <t>00996.00</t>
  </si>
  <si>
    <t>Nathaly_Bowen</t>
  </si>
  <si>
    <t>00475.00</t>
  </si>
  <si>
    <t>Whitney_Jones</t>
  </si>
  <si>
    <t>00787.00</t>
  </si>
  <si>
    <t>Braeden_Weiss</t>
  </si>
  <si>
    <t>00187.00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</si>
</sst>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3" borderId="1" xfId="0" applyFont="1" applyFill="1" applyBorder="1" applyAlignment="1">
      <alignment vertical="center" wrapText="1"/>
    </xf>
    <xf numFmtId="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3" borderId="1" xfId="0" applyFont="1" applyFill="1" applyBorder="1" applyAlignment="1">
      <alignment horizontal="right"/>
    </xf>
    <xf numFmtId="0" fontId="1" fillId="0" borderId="1" xfId="0" applyFont="1" applyBorder="1"/>
    <xf numFmtId="0" fontId="4" fillId="3" borderId="1" xfId="2" applyFill="1" applyBorder="1" applyAlignment="1">
      <alignment horizontal="center"/>
    </xf>
    <xf numFmtId="0" fontId="4" fillId="0" borderId="0" xfId="2"/>
    <xf numFmtId="0" fontId="2" fillId="2" borderId="0" xfId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5">
    <cellStyle name="Énfasis1" xfId="1" builtinId="29"/>
    <cellStyle name="Hipervínculo" xfId="2" builtinId="8"/>
    <cellStyle name="Normal" xfId="0" builtinId="0"/>
    <cellStyle name="Normal 2" xfId="3" xr:uid="{0631A3B0-C653-4F7F-AE59-E033D547AC94}"/>
    <cellStyle name="Porcentaje 2" xfId="4" xr:uid="{28BBCB78-03A0-4FE3-A8EB-B9833CED4A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uria López Álvarez" id="{C904C998-68A4-46C2-966A-D3AC98EB785C}" userId="S::QFQ98977@educastur.es::9b7b21a3-95f0-400d-a408-814458feacaf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22T06:19:35.17" personId="{C904C998-68A4-46C2-966A-D3AC98EB785C}" id="{A5409CBE-AFDC-44C5-B606-BC5DF26E2E33}">
    <text xml:space="preserve">Cuentan también los exámenes finales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lopalv@gmail.com?subject=Notas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microsoft.com/es-es/microsoft-365/access" TargetMode="External"/><Relationship Id="rId1" Type="http://schemas.openxmlformats.org/officeDocument/2006/relationships/hyperlink" Target="https://www.microsoft.com/es-es/microsoft-365/exce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6CA1-D7F3-41A7-B07E-69165FF7D278}">
  <sheetPr codeName="Hoja1" filterMode="1"/>
  <dimension ref="A2:J17"/>
  <sheetViews>
    <sheetView workbookViewId="0">
      <selection activeCell="A26" sqref="A26"/>
    </sheetView>
  </sheetViews>
  <sheetFormatPr baseColWidth="10" defaultRowHeight="14.5" x14ac:dyDescent="0.35"/>
  <cols>
    <col min="1" max="1" width="24.26953125" bestFit="1" customWidth="1"/>
    <col min="2" max="4" width="6.1796875" customWidth="1"/>
    <col min="5" max="6" width="7.81640625" customWidth="1"/>
    <col min="7" max="8" width="9.36328125" customWidth="1"/>
    <col min="9" max="9" width="7.36328125" customWidth="1"/>
    <col min="10" max="10" width="9.26953125" bestFit="1" customWidth="1"/>
    <col min="12" max="12" width="11.26953125" bestFit="1" customWidth="1"/>
  </cols>
  <sheetData>
    <row r="2" spans="1:10" x14ac:dyDescent="0.35">
      <c r="A2" s="1"/>
      <c r="B2" s="11" t="s">
        <v>0</v>
      </c>
      <c r="C2" s="11"/>
      <c r="D2" s="11"/>
      <c r="E2" s="11"/>
      <c r="F2" s="11"/>
      <c r="G2" s="2">
        <v>0.3</v>
      </c>
      <c r="H2" s="2">
        <v>0.7</v>
      </c>
      <c r="I2" s="12" t="s">
        <v>1</v>
      </c>
      <c r="J2" s="12" t="s">
        <v>2</v>
      </c>
    </row>
    <row r="3" spans="1:10" x14ac:dyDescent="0.35">
      <c r="A3" s="1"/>
      <c r="B3" s="3" t="s">
        <v>3</v>
      </c>
      <c r="C3" s="3" t="s">
        <v>4</v>
      </c>
      <c r="D3" s="3" t="s">
        <v>5</v>
      </c>
      <c r="E3" s="8" t="s">
        <v>6</v>
      </c>
      <c r="F3" s="8" t="s">
        <v>7</v>
      </c>
      <c r="G3" s="3" t="s">
        <v>8</v>
      </c>
      <c r="H3" s="3" t="s">
        <v>9</v>
      </c>
      <c r="I3" s="13"/>
      <c r="J3" s="13"/>
    </row>
    <row r="4" spans="1:10" x14ac:dyDescent="0.35">
      <c r="A4" s="9">
        <v>1</v>
      </c>
      <c r="B4" s="4">
        <v>3.5</v>
      </c>
      <c r="C4" s="4">
        <v>5</v>
      </c>
      <c r="D4" s="4">
        <v>6</v>
      </c>
      <c r="E4" s="4">
        <v>4</v>
      </c>
      <c r="F4" s="4">
        <v>4</v>
      </c>
      <c r="G4" s="5">
        <f>AVERAGE(B4:D4)</f>
        <v>4.833333333333333</v>
      </c>
      <c r="H4" s="5">
        <f>AVERAGE(E4:F4)</f>
        <v>4</v>
      </c>
      <c r="I4" s="5">
        <f>G4*$G$2+H4*$H$2</f>
        <v>4.25</v>
      </c>
      <c r="J4" s="4" t="str">
        <f>IF(I4&gt;=5,"SÍ","")</f>
        <v/>
      </c>
    </row>
    <row r="5" spans="1:10" hidden="1" x14ac:dyDescent="0.35">
      <c r="A5" s="4" t="s">
        <v>10</v>
      </c>
      <c r="B5" s="4"/>
      <c r="C5" s="4"/>
      <c r="D5" s="4"/>
      <c r="E5" s="4"/>
      <c r="F5" s="4"/>
      <c r="G5" s="5"/>
      <c r="H5" s="5"/>
      <c r="I5" s="5"/>
      <c r="J5" s="4"/>
    </row>
    <row r="6" spans="1:10" x14ac:dyDescent="0.35">
      <c r="A6" s="4" t="s">
        <v>11</v>
      </c>
      <c r="B6" s="4">
        <v>5.25</v>
      </c>
      <c r="C6" s="4">
        <v>9</v>
      </c>
      <c r="D6" s="4">
        <v>8.5</v>
      </c>
      <c r="E6" s="4">
        <v>9.5</v>
      </c>
      <c r="F6" s="4">
        <v>10</v>
      </c>
      <c r="G6" s="5">
        <f>AVERAGE(B6:D6)</f>
        <v>7.583333333333333</v>
      </c>
      <c r="H6" s="5">
        <f>AVERAGE(E6:F6)</f>
        <v>9.75</v>
      </c>
      <c r="I6" s="5">
        <f>G6*$G$2+H6*$H$2</f>
        <v>9.1</v>
      </c>
      <c r="J6" s="4" t="str">
        <f>IF(I6&gt;=5,"SÍ","")</f>
        <v>SÍ</v>
      </c>
    </row>
    <row r="7" spans="1:10" hidden="1" x14ac:dyDescent="0.35">
      <c r="A7" s="4" t="s">
        <v>12</v>
      </c>
      <c r="B7" s="4"/>
      <c r="C7" s="4"/>
      <c r="D7" s="4"/>
      <c r="E7" s="4"/>
      <c r="F7" s="4"/>
      <c r="G7" s="5"/>
      <c r="H7" s="5"/>
      <c r="I7" s="5"/>
      <c r="J7" s="4"/>
    </row>
    <row r="8" spans="1:10" hidden="1" x14ac:dyDescent="0.35">
      <c r="A8" s="4" t="s">
        <v>13</v>
      </c>
      <c r="B8" s="4"/>
      <c r="C8" s="4"/>
      <c r="D8" s="4"/>
      <c r="E8" s="4"/>
      <c r="F8" s="4"/>
      <c r="G8" s="5"/>
      <c r="H8" s="5"/>
      <c r="I8" s="5"/>
      <c r="J8" s="4"/>
    </row>
    <row r="9" spans="1:10" x14ac:dyDescent="0.35">
      <c r="A9" s="4" t="s">
        <v>14</v>
      </c>
      <c r="B9" s="4">
        <v>9.25</v>
      </c>
      <c r="C9" s="4">
        <v>3</v>
      </c>
      <c r="D9" s="4">
        <v>7</v>
      </c>
      <c r="E9" s="4">
        <v>6</v>
      </c>
      <c r="F9" s="4">
        <v>2</v>
      </c>
      <c r="G9" s="5">
        <f t="shared" ref="G9:G10" si="0">AVERAGE(B9:D9)</f>
        <v>6.416666666666667</v>
      </c>
      <c r="H9" s="5">
        <f t="shared" ref="H9:H10" si="1">AVERAGE(E9:F9)</f>
        <v>4</v>
      </c>
      <c r="I9" s="5">
        <f t="shared" ref="I9:I10" si="2">G9*$G$2+H9*$H$2</f>
        <v>4.7249999999999996</v>
      </c>
      <c r="J9" s="4" t="str">
        <f t="shared" ref="J9:J10" si="3">IF(I9&gt;=5,"SÍ","")</f>
        <v/>
      </c>
    </row>
    <row r="10" spans="1:10" x14ac:dyDescent="0.35">
      <c r="A10" s="4" t="s">
        <v>15</v>
      </c>
      <c r="B10" s="4">
        <v>8</v>
      </c>
      <c r="C10" s="4">
        <v>6</v>
      </c>
      <c r="D10" s="4">
        <v>4.5</v>
      </c>
      <c r="E10" s="4">
        <v>2</v>
      </c>
      <c r="F10" s="4">
        <v>1</v>
      </c>
      <c r="G10" s="5">
        <f t="shared" si="0"/>
        <v>6.166666666666667</v>
      </c>
      <c r="H10" s="5">
        <f t="shared" si="1"/>
        <v>1.5</v>
      </c>
      <c r="I10" s="5">
        <f t="shared" si="2"/>
        <v>2.9</v>
      </c>
      <c r="J10" s="4" t="str">
        <f t="shared" si="3"/>
        <v/>
      </c>
    </row>
    <row r="11" spans="1:10" hidden="1" x14ac:dyDescent="0.35">
      <c r="A11" s="4" t="s">
        <v>16</v>
      </c>
      <c r="B11" s="4"/>
      <c r="C11" s="4"/>
      <c r="D11" s="4"/>
      <c r="E11" s="4"/>
      <c r="F11" s="4"/>
      <c r="G11" s="5"/>
      <c r="H11" s="5"/>
      <c r="I11" s="5"/>
      <c r="J11" s="4"/>
    </row>
    <row r="12" spans="1:10" hidden="1" x14ac:dyDescent="0.35">
      <c r="A12" s="4" t="s">
        <v>17</v>
      </c>
      <c r="B12" s="4"/>
      <c r="C12" s="4"/>
      <c r="D12" s="4"/>
      <c r="E12" s="4"/>
      <c r="F12" s="4"/>
      <c r="G12" s="5"/>
      <c r="H12" s="5"/>
      <c r="I12" s="5"/>
      <c r="J12" s="4"/>
    </row>
    <row r="13" spans="1:10" hidden="1" x14ac:dyDescent="0.35">
      <c r="A13" s="4" t="s">
        <v>18</v>
      </c>
      <c r="B13" s="4"/>
      <c r="C13" s="4"/>
      <c r="D13" s="4"/>
      <c r="E13" s="4"/>
      <c r="F13" s="4"/>
      <c r="G13" s="5"/>
      <c r="H13" s="5"/>
      <c r="I13" s="5"/>
      <c r="J13" s="4"/>
    </row>
    <row r="15" spans="1:10" x14ac:dyDescent="0.35">
      <c r="A15" s="6" t="s">
        <v>19</v>
      </c>
      <c r="B15" s="7"/>
    </row>
    <row r="16" spans="1:10" x14ac:dyDescent="0.35">
      <c r="A16" s="6" t="s">
        <v>20</v>
      </c>
      <c r="B16" s="7"/>
    </row>
    <row r="17" spans="1:2" x14ac:dyDescent="0.35">
      <c r="A17" s="6" t="s">
        <v>21</v>
      </c>
      <c r="B17" s="7"/>
    </row>
  </sheetData>
  <autoFilter ref="B3:B13" xr:uid="{7D4C5BDE-E204-42AF-9EB2-60AF035F2F27}">
    <filterColumn colId="0">
      <customFilters>
        <customFilter operator="notEqual" val=" "/>
      </customFilters>
    </filterColumn>
  </autoFilter>
  <mergeCells count="3">
    <mergeCell ref="B2:F2"/>
    <mergeCell ref="I2:I3"/>
    <mergeCell ref="J2:J3"/>
  </mergeCells>
  <hyperlinks>
    <hyperlink ref="E3" r:id="rId1" xr:uid="{A06640A1-E705-4F93-A68A-F7972988C601}"/>
    <hyperlink ref="F3" r:id="rId2" xr:uid="{96AC9DE3-DEE4-44F8-A899-16AEDD4CB4FF}"/>
    <hyperlink ref="A4" r:id="rId3" tooltip="Boletín de notas" display="Andujar Barceló, Ana Isabel" xr:uid="{0C5F6069-CA29-4081-98E9-9C1E33388313}"/>
  </hyperlinks>
  <pageMargins left="0.7" right="0.7" top="0.75" bottom="0.75" header="0.3" footer="0.3"/>
  <pageSetup paperSize="9"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A264-E289-4A32-93D2-FADE25CE19E7}">
  <sheetPr codeName="Hoja7"/>
  <dimension ref="A1:I25"/>
  <sheetViews>
    <sheetView tabSelected="1" workbookViewId="0">
      <selection activeCell="P8" sqref="P8"/>
    </sheetView>
  </sheetViews>
  <sheetFormatPr baseColWidth="10" defaultRowHeight="14.5" x14ac:dyDescent="0.35"/>
  <cols>
    <col min="1" max="1" width="17.54296875" bestFit="1" customWidth="1"/>
    <col min="2" max="2" width="8.26953125" bestFit="1" customWidth="1"/>
    <col min="3" max="3" width="8.54296875" bestFit="1" customWidth="1"/>
    <col min="4" max="4" width="24" bestFit="1" customWidth="1"/>
    <col min="5" max="5" width="17.1796875" bestFit="1" customWidth="1"/>
    <col min="6" max="6" width="30.7265625" bestFit="1" customWidth="1"/>
    <col min="7" max="7" width="15.54296875" bestFit="1" customWidth="1"/>
    <col min="8" max="8" width="13.81640625" bestFit="1" customWidth="1"/>
  </cols>
  <sheetData>
    <row r="1" spans="1:9" x14ac:dyDescent="0.3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</row>
    <row r="2" spans="1:9" x14ac:dyDescent="0.35">
      <c r="A2" t="s">
        <v>31</v>
      </c>
      <c r="D2" t="s">
        <v>32</v>
      </c>
      <c r="E2" t="s">
        <v>33</v>
      </c>
      <c r="F2" t="s">
        <v>34</v>
      </c>
      <c r="G2">
        <v>20211017</v>
      </c>
      <c r="H2">
        <v>0.18</v>
      </c>
      <c r="I2" t="s">
        <v>35</v>
      </c>
    </row>
    <row r="3" spans="1:9" x14ac:dyDescent="0.35">
      <c r="A3" t="s">
        <v>36</v>
      </c>
      <c r="D3" t="s">
        <v>37</v>
      </c>
      <c r="E3" t="s">
        <v>38</v>
      </c>
      <c r="F3" t="s">
        <v>39</v>
      </c>
      <c r="G3">
        <v>20210418</v>
      </c>
      <c r="H3">
        <v>0.15</v>
      </c>
      <c r="I3" t="s">
        <v>40</v>
      </c>
    </row>
    <row r="4" spans="1:9" x14ac:dyDescent="0.35">
      <c r="A4" t="s">
        <v>41</v>
      </c>
      <c r="D4" t="s">
        <v>42</v>
      </c>
      <c r="E4" t="s">
        <v>43</v>
      </c>
      <c r="F4" t="s">
        <v>44</v>
      </c>
      <c r="G4">
        <v>20211030</v>
      </c>
      <c r="H4">
        <v>7.0000000000000007E-2</v>
      </c>
      <c r="I4" t="s">
        <v>45</v>
      </c>
    </row>
    <row r="5" spans="1:9" x14ac:dyDescent="0.35">
      <c r="A5" t="s">
        <v>46</v>
      </c>
      <c r="D5" t="s">
        <v>47</v>
      </c>
      <c r="E5" t="s">
        <v>48</v>
      </c>
      <c r="F5" t="s">
        <v>49</v>
      </c>
      <c r="G5">
        <v>20210723</v>
      </c>
      <c r="H5">
        <v>0.14000000000000001</v>
      </c>
      <c r="I5" t="s">
        <v>50</v>
      </c>
    </row>
    <row r="6" spans="1:9" x14ac:dyDescent="0.35">
      <c r="A6" t="s">
        <v>51</v>
      </c>
      <c r="D6" t="s">
        <v>52</v>
      </c>
      <c r="E6" t="s">
        <v>53</v>
      </c>
      <c r="F6" t="s">
        <v>54</v>
      </c>
      <c r="G6">
        <v>20210126</v>
      </c>
      <c r="H6">
        <v>0.22</v>
      </c>
      <c r="I6" t="s">
        <v>55</v>
      </c>
    </row>
    <row r="7" spans="1:9" x14ac:dyDescent="0.35">
      <c r="A7" t="s">
        <v>56</v>
      </c>
      <c r="D7" t="s">
        <v>57</v>
      </c>
      <c r="E7" t="s">
        <v>58</v>
      </c>
      <c r="F7" t="s">
        <v>59</v>
      </c>
      <c r="G7">
        <v>20210603</v>
      </c>
      <c r="H7">
        <v>0.13</v>
      </c>
      <c r="I7" t="s">
        <v>60</v>
      </c>
    </row>
    <row r="8" spans="1:9" x14ac:dyDescent="0.35">
      <c r="A8" t="s">
        <v>61</v>
      </c>
      <c r="D8" t="s">
        <v>62</v>
      </c>
      <c r="E8" t="s">
        <v>63</v>
      </c>
      <c r="F8" t="s">
        <v>64</v>
      </c>
      <c r="G8">
        <v>20210907</v>
      </c>
      <c r="H8">
        <v>0.02</v>
      </c>
      <c r="I8" t="s">
        <v>65</v>
      </c>
    </row>
    <row r="9" spans="1:9" x14ac:dyDescent="0.35">
      <c r="A9" t="s">
        <v>66</v>
      </c>
      <c r="F9" t="s">
        <v>67</v>
      </c>
      <c r="G9">
        <v>20210509</v>
      </c>
      <c r="H9">
        <v>0.26</v>
      </c>
      <c r="I9" t="s">
        <v>68</v>
      </c>
    </row>
    <row r="10" spans="1:9" x14ac:dyDescent="0.35">
      <c r="A10" t="s">
        <v>69</v>
      </c>
      <c r="D10" t="s">
        <v>70</v>
      </c>
      <c r="E10" t="s">
        <v>33</v>
      </c>
      <c r="F10" t="s">
        <v>71</v>
      </c>
      <c r="G10">
        <v>20210307</v>
      </c>
      <c r="H10">
        <v>7.0000000000000007E-2</v>
      </c>
      <c r="I10" t="s">
        <v>72</v>
      </c>
    </row>
    <row r="11" spans="1:9" x14ac:dyDescent="0.35">
      <c r="A11" t="s">
        <v>73</v>
      </c>
      <c r="D11" t="s">
        <v>74</v>
      </c>
      <c r="E11" t="s">
        <v>38</v>
      </c>
      <c r="F11" t="s">
        <v>75</v>
      </c>
      <c r="G11">
        <v>20210430</v>
      </c>
      <c r="H11">
        <v>0.09</v>
      </c>
      <c r="I11" t="s">
        <v>76</v>
      </c>
    </row>
    <row r="12" spans="1:9" x14ac:dyDescent="0.35">
      <c r="A12" t="s">
        <v>77</v>
      </c>
      <c r="D12" t="s">
        <v>78</v>
      </c>
      <c r="E12" t="s">
        <v>43</v>
      </c>
      <c r="F12" t="s">
        <v>79</v>
      </c>
      <c r="G12">
        <v>20211226</v>
      </c>
      <c r="H12">
        <v>0.23</v>
      </c>
      <c r="I12" t="s">
        <v>80</v>
      </c>
    </row>
    <row r="13" spans="1:9" x14ac:dyDescent="0.35">
      <c r="A13" t="s">
        <v>81</v>
      </c>
      <c r="D13" t="s">
        <v>82</v>
      </c>
      <c r="E13" t="s">
        <v>48</v>
      </c>
      <c r="F13" t="s">
        <v>34</v>
      </c>
      <c r="G13">
        <v>20210303</v>
      </c>
      <c r="H13">
        <v>0.23</v>
      </c>
      <c r="I13" t="s">
        <v>83</v>
      </c>
    </row>
    <row r="14" spans="1:9" x14ac:dyDescent="0.35">
      <c r="A14" t="s">
        <v>84</v>
      </c>
      <c r="D14" t="s">
        <v>82</v>
      </c>
      <c r="E14" t="s">
        <v>53</v>
      </c>
      <c r="F14" t="s">
        <v>39</v>
      </c>
      <c r="G14">
        <v>20210705</v>
      </c>
      <c r="H14">
        <v>0.24</v>
      </c>
      <c r="I14" t="s">
        <v>85</v>
      </c>
    </row>
    <row r="15" spans="1:9" x14ac:dyDescent="0.35">
      <c r="A15" t="s">
        <v>86</v>
      </c>
      <c r="D15" t="s">
        <v>87</v>
      </c>
      <c r="E15" t="s">
        <v>58</v>
      </c>
      <c r="F15" t="s">
        <v>44</v>
      </c>
      <c r="G15">
        <v>20211211</v>
      </c>
      <c r="H15">
        <v>0.06</v>
      </c>
      <c r="I15" t="s">
        <v>88</v>
      </c>
    </row>
    <row r="16" spans="1:9" x14ac:dyDescent="0.35">
      <c r="D16" t="s">
        <v>32</v>
      </c>
      <c r="E16" t="s">
        <v>63</v>
      </c>
      <c r="F16" t="s">
        <v>49</v>
      </c>
      <c r="G16">
        <v>20211027</v>
      </c>
      <c r="H16">
        <v>0.06</v>
      </c>
      <c r="I16" t="s">
        <v>89</v>
      </c>
    </row>
    <row r="17" spans="1:9" x14ac:dyDescent="0.35">
      <c r="A17" t="s">
        <v>90</v>
      </c>
      <c r="D17" t="s">
        <v>37</v>
      </c>
      <c r="E17" t="s">
        <v>91</v>
      </c>
      <c r="F17" t="s">
        <v>54</v>
      </c>
      <c r="G17">
        <v>20210102</v>
      </c>
      <c r="H17">
        <v>0.19</v>
      </c>
      <c r="I17" t="s">
        <v>92</v>
      </c>
    </row>
    <row r="18" spans="1:9" x14ac:dyDescent="0.35">
      <c r="A18" t="s">
        <v>93</v>
      </c>
      <c r="D18" t="s">
        <v>42</v>
      </c>
      <c r="E18" t="s">
        <v>33</v>
      </c>
      <c r="F18" t="s">
        <v>59</v>
      </c>
      <c r="G18">
        <v>20210327</v>
      </c>
      <c r="H18">
        <v>0.11</v>
      </c>
      <c r="I18" t="s">
        <v>94</v>
      </c>
    </row>
    <row r="19" spans="1:9" x14ac:dyDescent="0.35">
      <c r="A19" t="s">
        <v>95</v>
      </c>
      <c r="D19" t="s">
        <v>47</v>
      </c>
      <c r="E19" t="s">
        <v>38</v>
      </c>
      <c r="F19" t="s">
        <v>64</v>
      </c>
      <c r="G19">
        <v>20210917</v>
      </c>
      <c r="H19">
        <v>0.04</v>
      </c>
      <c r="I19" t="s">
        <v>96</v>
      </c>
    </row>
    <row r="20" spans="1:9" x14ac:dyDescent="0.35">
      <c r="A20" t="s">
        <v>97</v>
      </c>
      <c r="D20" t="s">
        <v>52</v>
      </c>
      <c r="E20" t="s">
        <v>43</v>
      </c>
      <c r="F20" t="s">
        <v>67</v>
      </c>
      <c r="G20">
        <v>20210222</v>
      </c>
      <c r="H20">
        <v>0.15</v>
      </c>
      <c r="I20" t="s">
        <v>98</v>
      </c>
    </row>
    <row r="21" spans="1:9" x14ac:dyDescent="0.35">
      <c r="A21" t="s">
        <v>99</v>
      </c>
      <c r="D21" t="s">
        <v>57</v>
      </c>
      <c r="G21">
        <v>20210116</v>
      </c>
      <c r="H21">
        <v>7.0000000000000007E-2</v>
      </c>
      <c r="I21" t="s">
        <v>100</v>
      </c>
    </row>
    <row r="22" spans="1:9" x14ac:dyDescent="0.35">
      <c r="A22" t="s">
        <v>101</v>
      </c>
      <c r="D22" t="s">
        <v>62</v>
      </c>
      <c r="E22" t="s">
        <v>53</v>
      </c>
      <c r="F22" t="s">
        <v>75</v>
      </c>
      <c r="G22">
        <v>20210320</v>
      </c>
      <c r="H22">
        <v>0.15</v>
      </c>
      <c r="I22" t="s">
        <v>102</v>
      </c>
    </row>
    <row r="23" spans="1:9" x14ac:dyDescent="0.35">
      <c r="A23" t="s">
        <v>103</v>
      </c>
      <c r="D23" t="s">
        <v>70</v>
      </c>
      <c r="E23" t="s">
        <v>58</v>
      </c>
      <c r="F23" t="s">
        <v>79</v>
      </c>
      <c r="H23">
        <v>0.01</v>
      </c>
      <c r="I23" t="s">
        <v>104</v>
      </c>
    </row>
    <row r="24" spans="1:9" x14ac:dyDescent="0.35">
      <c r="A24" t="s">
        <v>105</v>
      </c>
      <c r="D24" t="s">
        <v>70</v>
      </c>
      <c r="E24" t="s">
        <v>63</v>
      </c>
      <c r="F24" t="s">
        <v>34</v>
      </c>
      <c r="G24">
        <v>20210229</v>
      </c>
      <c r="H24">
        <v>0.1</v>
      </c>
      <c r="I24" t="s">
        <v>106</v>
      </c>
    </row>
    <row r="25" spans="1:9" x14ac:dyDescent="0.35">
      <c r="A25" t="s">
        <v>107</v>
      </c>
      <c r="D25" t="s">
        <v>74</v>
      </c>
      <c r="E25" t="s">
        <v>91</v>
      </c>
      <c r="F25" t="s">
        <v>39</v>
      </c>
      <c r="G25">
        <v>20211018</v>
      </c>
      <c r="H25">
        <v>0.23</v>
      </c>
      <c r="I2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Borrar original</vt:lpstr>
      <vt:lpstr>Limpieza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2026-04-22T06:16:57Z</dcterms:created>
  <dcterms:modified xsi:type="dcterms:W3CDTF">2026-04-22T09:41:40Z</dcterms:modified>
</cp:coreProperties>
</file>